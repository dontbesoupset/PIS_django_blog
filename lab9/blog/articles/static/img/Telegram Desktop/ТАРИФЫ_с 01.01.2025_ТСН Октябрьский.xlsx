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TSNBuh\Desktop\ТСН ОКТЯБРЬСКИЙ 403\НАЧИСЛЕНИЯ\Тарифы\"/>
    </mc:Choice>
  </mc:AlternateContent>
  <xr:revisionPtr revIDLastSave="0" documentId="13_ncr:1_{A9488444-45D9-46A6-A3C0-3F96E3F8293E}" xr6:coauthVersionLast="47" xr6:coauthVersionMax="47" xr10:uidLastSave="{00000000-0000-0000-0000-000000000000}"/>
  <bookViews>
    <workbookView xWindow="14190" yWindow="1755" windowWidth="16395" windowHeight="14520" xr2:uid="{00000000-000D-0000-FFFF-FFFF00000000}"/>
  </bookViews>
  <sheets>
    <sheet name="Тариф" sheetId="5" r:id="rId1"/>
    <sheet name="Лист1" sheetId="6"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9" i="5" l="1"/>
  <c r="C39" i="5"/>
  <c r="C20" i="5"/>
  <c r="C19" i="5"/>
  <c r="C18" i="5"/>
</calcChain>
</file>

<file path=xl/sharedStrings.xml><?xml version="1.0" encoding="utf-8"?>
<sst xmlns="http://schemas.openxmlformats.org/spreadsheetml/2006/main" count="60" uniqueCount="45">
  <si>
    <t>Водоотведение</t>
  </si>
  <si>
    <t>Ресурсоснабжающая организация</t>
  </si>
  <si>
    <t>ОДН по общедомовому прибору учету, (м³ на 1 кв.м.)</t>
  </si>
  <si>
    <t>Обращение с ТКО</t>
  </si>
  <si>
    <t>Холодная вода</t>
  </si>
  <si>
    <t>(руб./м3)</t>
  </si>
  <si>
    <t>(руб./м2)</t>
  </si>
  <si>
    <t>ТСН</t>
  </si>
  <si>
    <t>Негативное воздействие на работу центральной системы водоотведения</t>
  </si>
  <si>
    <t>(руб./кВт*ч)</t>
  </si>
  <si>
    <t>Тариф</t>
  </si>
  <si>
    <t>ОДН Холодная вода</t>
  </si>
  <si>
    <t>ОДН Водоотведение</t>
  </si>
  <si>
    <t>ОДН Электроэнергия</t>
  </si>
  <si>
    <t>Размер платы  рассчитывается по формуле:
Pi=Si* NHi / 12 * TOTX,
где:
Si - общая площадь жилого помещения, кв. м.;
NHi - норматив накопления твердых коммунальных отходов, куб. м в год на 1 кв. м площади с учетом крупногабаритных отходов (0,086+0,028=0,114 куб.м. на 1 кв. метр);
Tотх - тариф на услугу регионального оператора по обращению с твердыми коммунальными отходами, руб./куб.</t>
  </si>
  <si>
    <r>
      <rPr>
        <b/>
        <sz val="9"/>
        <color theme="1"/>
        <rFont val="Times New Roman"/>
        <family val="1"/>
        <charset val="204"/>
      </rPr>
      <t>V</t>
    </r>
    <r>
      <rPr>
        <b/>
        <vertAlign val="subscript"/>
        <sz val="9"/>
        <color theme="1"/>
        <rFont val="Times New Roman"/>
        <family val="1"/>
        <charset val="204"/>
      </rPr>
      <t xml:space="preserve">одн  </t>
    </r>
    <r>
      <rPr>
        <b/>
        <sz val="9"/>
        <color theme="1"/>
        <rFont val="Times New Roman"/>
        <family val="1"/>
        <charset val="204"/>
      </rPr>
      <t>= V</t>
    </r>
    <r>
      <rPr>
        <b/>
        <vertAlign val="subscript"/>
        <sz val="9"/>
        <color theme="1"/>
        <rFont val="Times New Roman"/>
        <family val="1"/>
        <charset val="204"/>
      </rPr>
      <t>ОДПУ</t>
    </r>
    <r>
      <rPr>
        <b/>
        <sz val="9"/>
        <color theme="1"/>
        <rFont val="Times New Roman"/>
        <family val="1"/>
        <charset val="204"/>
      </rPr>
      <t xml:space="preserve"> -V</t>
    </r>
    <r>
      <rPr>
        <b/>
        <vertAlign val="subscript"/>
        <sz val="9"/>
        <color theme="1"/>
        <rFont val="Times New Roman"/>
        <family val="1"/>
        <charset val="204"/>
      </rPr>
      <t>ИПУ</t>
    </r>
    <r>
      <rPr>
        <b/>
        <sz val="9"/>
        <color theme="1"/>
        <rFont val="Times New Roman"/>
        <family val="1"/>
        <charset val="204"/>
      </rPr>
      <t>-V</t>
    </r>
    <r>
      <rPr>
        <b/>
        <vertAlign val="subscript"/>
        <sz val="9"/>
        <color theme="1"/>
        <rFont val="Times New Roman"/>
        <family val="1"/>
        <charset val="204"/>
      </rPr>
      <t>норм</t>
    </r>
    <r>
      <rPr>
        <vertAlign val="subscript"/>
        <sz val="9"/>
        <color theme="1"/>
        <rFont val="Times New Roman"/>
        <family val="1"/>
        <charset val="204"/>
      </rPr>
      <t xml:space="preserve">  </t>
    </r>
    <r>
      <rPr>
        <sz val="9"/>
        <color theme="1"/>
        <rFont val="Times New Roman"/>
        <family val="1"/>
        <charset val="204"/>
      </rPr>
      <t>,                                                                                                                                                   где:                                                                                                                                                              V</t>
    </r>
    <r>
      <rPr>
        <vertAlign val="subscript"/>
        <sz val="9"/>
        <color theme="1"/>
        <rFont val="Times New Roman"/>
        <family val="1"/>
        <charset val="204"/>
      </rPr>
      <t>ОДПУ -</t>
    </r>
    <r>
      <rPr>
        <sz val="9"/>
        <color theme="1"/>
        <rFont val="Times New Roman"/>
        <family val="1"/>
        <charset val="204"/>
      </rPr>
      <t xml:space="preserve"> объем выставленный РСО,                                                                                                          V</t>
    </r>
    <r>
      <rPr>
        <vertAlign val="subscript"/>
        <sz val="9"/>
        <color theme="1"/>
        <rFont val="Times New Roman"/>
        <family val="1"/>
        <charset val="204"/>
      </rPr>
      <t xml:space="preserve">ИПУ </t>
    </r>
    <r>
      <rPr>
        <sz val="9"/>
        <color theme="1"/>
        <rFont val="Times New Roman"/>
        <family val="1"/>
        <charset val="204"/>
      </rPr>
      <t>- объем выставленный по индивидуальным приборам учета,                                                    V</t>
    </r>
    <r>
      <rPr>
        <vertAlign val="subscript"/>
        <sz val="9"/>
        <color theme="1"/>
        <rFont val="Times New Roman"/>
        <family val="1"/>
        <charset val="204"/>
      </rPr>
      <t>норм</t>
    </r>
    <r>
      <rPr>
        <sz val="9"/>
        <color theme="1"/>
        <rFont val="Times New Roman"/>
        <family val="1"/>
        <charset val="204"/>
      </rPr>
      <t>- объем выставленный при осуствии индивидуальных приборов учета (Постановление ППРФ 354 от 06.05.11)</t>
    </r>
  </si>
  <si>
    <t>куб. метр на 1 человека</t>
  </si>
  <si>
    <t>Начисления за жилищные услуги</t>
  </si>
  <si>
    <t>АО "МОСЭНЕРГОСБЫТ"</t>
  </si>
  <si>
    <t xml:space="preserve">Водоотведение </t>
  </si>
  <si>
    <t>Холодная вода для приготовления горячей воды</t>
  </si>
  <si>
    <t>Размер платы  рассчитывается по формуле:
П = К x Т x Qпр1, 
где:
К - коэффициент компенсации, равный 0,5 ;
Т - тариф на водоотведение, действующий для абонента (руб./куб. метр);
Qпр1 - объем сточных вод, отведенных (сброшенных) с объекта абонента, определенный по показаниям прибора учета сточных вод либо в соответствии с балансом водопотребления и водоотведения или иными способами, предусмотренными Правилами организации коммерческого учета воды, сточных вод</t>
  </si>
  <si>
    <t>* Нерегулируемые цены – это цены, которые не регулируются государством, определяются на розничных рынках электрической энергии на территориях, объединённых в ценовые зоны оптового рынка. По нерегулируемым ценам оплату электроэнергии производят все потребители, за исключением населения и приравненных к нему категорий потребителей. Ежедневно на оптовом рынке электрической энергии и мощности происходят торги, где гарантирующий поставщик производит закупку электроэнергии (мощности). В конце месяца определяется общий объем электроэнергии и формируется средневзвешенная стоимость электроэнергии (мощности), к которой прибавляются услуги по передаче электроэнергии, сбытовая надбавка и цена за иные услуги, оказание которых является неотъемлемой частью процесса поставки электрической энергии. Ежемесячное изменение величины нерегулируемой цены зависит от цен на электрическую энергию (мощность), сформированных на оптовом рынке электрической энергии и мощности, Вашего профиля потребления электрической энергии и величины потребляемой мощности. Информацию о нерегулируемых ценах вы можете уточнить на официальном сайте компании АО «Мосэнергосбыт»</t>
  </si>
  <si>
    <t>Электроэнергия (* нерегулируемый тариф )</t>
  </si>
  <si>
    <t>Подогрев холодной воды для приготовления горячей воды</t>
  </si>
  <si>
    <t>(руб./литр)</t>
  </si>
  <si>
    <t>Управленческие расходы</t>
  </si>
  <si>
    <t>Техническое обслуживание и ремонт общего имущества</t>
  </si>
  <si>
    <t>Справочная информация ( При отсутствии показаний ИПУ расчет производится по нормативам потребления), МИНИСТЕРСТВО ЖИЛИЩНО-КОММУНАЛЬНОГО ХОЗЯЙСТВА МОСКОВСКОЙ ОБЛАСТИ РАСПОРЯЖЕНИЕ от 20 октября 2020 года N 386-РВ</t>
  </si>
  <si>
    <t>60,00 - 65,00 (тариф закупки)</t>
  </si>
  <si>
    <t>тариф 60,00 - 65,00 (коэф. 8,09 на подогрев 1м3)</t>
  </si>
  <si>
    <t>Эксплуатационная компания ООО "ВАШ ДОМ"</t>
  </si>
  <si>
    <t>Тариф утвержден решением общего собрания членов ТСН</t>
  </si>
  <si>
    <t>АО "ЛЮБЕРЕЦКИЙ ВОДОКАНАЛ"</t>
  </si>
  <si>
    <t>ООО "ЭКОЛАЙН-ВОСКРЕСЕНСК"</t>
  </si>
  <si>
    <t>Комитет по ценам и тарифам Московской области распоряжение № 303-Р от 19.12.2024</t>
  </si>
  <si>
    <t xml:space="preserve"> Распоряжением Комитета по ценам и тарифам Московской области от 10.12.2024 № 270-Р "Об установлении цен (тарифов) на электрическую энергию для населения и приравненных к нему категорий потребителей Московской области на 2025 год".</t>
  </si>
  <si>
    <t>от 7,33 до 8,89</t>
  </si>
  <si>
    <t xml:space="preserve">
Распоряжением Комитета по ценам и тарифам Московской области от 20.12.2024 № 320-Р «О внесении изменения в распоряжение Комитета по ценам и тарифам Московской области от 20.11.2022 № 205-Р «Об утверждении предельных единых тарифов на услуги региональных операторов по обращению с твердыми коммунальными отходами, осуществляющих деятельность на территории Московской области, на 2023-2028 годы»</t>
  </si>
  <si>
    <t>Тарифы на жилищно-коммунальные услуги с 01.01.2025 по 30.06.2025 г.</t>
  </si>
  <si>
    <t>ТОВАРИЩЕСТВО СОБСТВЕННИКОВ НЕДВИЖИМОСТИ  "ОКТЯБРЬСКИЙ 403"</t>
  </si>
  <si>
    <t>Нормативный док-т</t>
  </si>
  <si>
    <t>Председатель Правления                                                                                                        О.С. Бондарчук</t>
  </si>
  <si>
    <t>ООО "ЕВРОТЭК"</t>
  </si>
  <si>
    <t>Расход дизельного топлива на отопление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</si>
</sst>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charset val="204"/>
      <scheme val="minor"/>
    </font>
    <font>
      <b/>
      <sz val="11"/>
      <color theme="1"/>
      <name val="Calibri"/>
      <family val="2"/>
      <charset val="204"/>
      <scheme val="minor"/>
    </font>
    <font>
      <b/>
      <i/>
      <sz val="9"/>
      <color theme="1"/>
      <name val="Times New Roman"/>
      <family val="1"/>
      <charset val="204"/>
    </font>
    <font>
      <sz val="9"/>
      <color theme="1"/>
      <name val="Times New Roman"/>
      <family val="1"/>
      <charset val="204"/>
    </font>
    <font>
      <b/>
      <sz val="9"/>
      <color theme="1"/>
      <name val="Times New Roman"/>
      <family val="1"/>
      <charset val="204"/>
    </font>
    <font>
      <b/>
      <i/>
      <sz val="9"/>
      <name val="Times New Roman"/>
      <family val="1"/>
      <charset val="204"/>
    </font>
    <font>
      <sz val="9"/>
      <name val="Times New Roman"/>
      <family val="1"/>
      <charset val="204"/>
    </font>
    <font>
      <b/>
      <vertAlign val="subscript"/>
      <sz val="9"/>
      <color theme="1"/>
      <name val="Times New Roman"/>
      <family val="1"/>
      <charset val="204"/>
    </font>
    <font>
      <vertAlign val="subscript"/>
      <sz val="9"/>
      <color theme="1"/>
      <name val="Times New Roman"/>
      <family val="1"/>
      <charset val="204"/>
    </font>
    <font>
      <b/>
      <sz val="11"/>
      <color theme="1"/>
      <name val="Times New Roman"/>
      <family val="1"/>
      <charset val="204"/>
    </font>
    <font>
      <sz val="11"/>
      <color theme="1"/>
      <name val="Times New Roman"/>
      <family val="1"/>
      <charset val="204"/>
    </font>
    <font>
      <b/>
      <i/>
      <sz val="11"/>
      <color theme="1"/>
      <name val="Times New Roman"/>
      <family val="1"/>
      <charset val="204"/>
    </font>
  </fonts>
  <fills count="5">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99CCFF"/>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44">
    <xf numFmtId="0" fontId="0" fillId="0" borderId="0" xfId="0"/>
    <xf numFmtId="0" fontId="1" fillId="0" borderId="0" xfId="0" applyFont="1"/>
    <xf numFmtId="0" fontId="3" fillId="0" borderId="0" xfId="0" applyFont="1"/>
    <xf numFmtId="0" fontId="4" fillId="0" borderId="1" xfId="0" applyFont="1" applyBorder="1" applyAlignment="1">
      <alignment horizontal="left" vertical="center" wrapText="1"/>
    </xf>
    <xf numFmtId="0" fontId="6"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3" fillId="2" borderId="1" xfId="0" applyFont="1" applyFill="1" applyBorder="1" applyAlignment="1">
      <alignment horizontal="center" vertical="center" wrapText="1"/>
    </xf>
    <xf numFmtId="0" fontId="3" fillId="0" borderId="1" xfId="0" applyFont="1" applyBorder="1"/>
    <xf numFmtId="0" fontId="9" fillId="0" borderId="0" xfId="0" applyFont="1" applyAlignment="1">
      <alignment horizontal="right"/>
    </xf>
    <xf numFmtId="0" fontId="10" fillId="0" borderId="0" xfId="0" applyFont="1"/>
    <xf numFmtId="0" fontId="3" fillId="0" borderId="1" xfId="0" applyFont="1" applyBorder="1" applyAlignment="1">
      <alignment horizontal="center"/>
    </xf>
    <xf numFmtId="2" fontId="4" fillId="2" borderId="1" xfId="0" applyNumberFormat="1" applyFont="1" applyFill="1" applyBorder="1" applyAlignment="1">
      <alignment horizontal="center" vertical="center" wrapText="1"/>
    </xf>
    <xf numFmtId="4" fontId="4"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4" fontId="4" fillId="0" borderId="1" xfId="0" applyNumberFormat="1" applyFont="1" applyBorder="1" applyAlignment="1">
      <alignment horizontal="center" vertical="center" wrapText="1"/>
    </xf>
    <xf numFmtId="0" fontId="4" fillId="2" borderId="1" xfId="0" applyFont="1" applyFill="1" applyBorder="1" applyAlignment="1">
      <alignment horizontal="left" vertical="center" wrapText="1"/>
    </xf>
    <xf numFmtId="0" fontId="5" fillId="3"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4" fillId="3" borderId="1"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4" fillId="4" borderId="1" xfId="0" applyFont="1" applyFill="1" applyBorder="1" applyAlignment="1">
      <alignment horizontal="center" vertical="center" wrapText="1"/>
    </xf>
    <xf numFmtId="0" fontId="10" fillId="0" borderId="0" xfId="0" applyFont="1" applyAlignment="1">
      <alignment horizontal="center" vertical="center"/>
    </xf>
    <xf numFmtId="0" fontId="6" fillId="3" borderId="3" xfId="0" applyFont="1" applyFill="1" applyBorder="1" applyAlignment="1">
      <alignment horizontal="left" vertical="center" wrapText="1"/>
    </xf>
    <xf numFmtId="0" fontId="3" fillId="0" borderId="0" xfId="0" applyFont="1" applyAlignment="1">
      <alignment horizontal="left" wrapText="1"/>
    </xf>
    <xf numFmtId="0" fontId="2" fillId="0" borderId="0" xfId="0" applyFont="1" applyAlignment="1">
      <alignment horizont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4" fillId="0" borderId="4" xfId="0" applyFont="1" applyBorder="1" applyAlignment="1">
      <alignment horizontal="left" vertical="center" wrapText="1"/>
    </xf>
    <xf numFmtId="0" fontId="3" fillId="0" borderId="5" xfId="0" applyFont="1" applyBorder="1" applyAlignment="1">
      <alignment horizontal="left" vertical="center" wrapText="1"/>
    </xf>
    <xf numFmtId="0" fontId="6" fillId="3" borderId="2" xfId="0" applyFont="1" applyFill="1" applyBorder="1" applyAlignment="1">
      <alignment horizontal="left" wrapText="1"/>
    </xf>
    <xf numFmtId="0" fontId="3" fillId="3" borderId="3" xfId="0" applyFont="1" applyFill="1" applyBorder="1" applyAlignment="1">
      <alignment horizontal="left" wrapText="1"/>
    </xf>
    <xf numFmtId="0" fontId="10" fillId="0" borderId="0" xfId="0" applyFont="1" applyAlignment="1">
      <alignment horizontal="center" vertical="center"/>
    </xf>
    <xf numFmtId="0" fontId="9" fillId="0" borderId="0" xfId="0" applyFont="1" applyAlignment="1">
      <alignment horizontal="center"/>
    </xf>
    <xf numFmtId="0" fontId="4" fillId="0" borderId="5" xfId="0" applyFont="1" applyBorder="1" applyAlignment="1">
      <alignment horizontal="left" vertical="center" wrapText="1"/>
    </xf>
    <xf numFmtId="2" fontId="3" fillId="2" borderId="2" xfId="0" applyNumberFormat="1" applyFont="1" applyFill="1" applyBorder="1" applyAlignment="1">
      <alignment horizontal="left" vertical="center" wrapText="1"/>
    </xf>
    <xf numFmtId="2" fontId="3" fillId="2" borderId="3" xfId="0" applyNumberFormat="1" applyFont="1" applyFill="1" applyBorder="1" applyAlignment="1">
      <alignment horizontal="left" vertical="center" wrapText="1"/>
    </xf>
    <xf numFmtId="2" fontId="3" fillId="0" borderId="1" xfId="0" applyNumberFormat="1" applyFont="1" applyBorder="1" applyAlignment="1">
      <alignment horizontal="left" vertical="top" wrapText="1"/>
    </xf>
    <xf numFmtId="0" fontId="10" fillId="0" borderId="0" xfId="0" applyFont="1" applyAlignment="1">
      <alignment horizontal="center"/>
    </xf>
    <xf numFmtId="0" fontId="6" fillId="3" borderId="2" xfId="0" applyFont="1" applyFill="1" applyBorder="1" applyAlignment="1">
      <alignment horizontal="left" vertical="center" wrapText="1"/>
    </xf>
    <xf numFmtId="0" fontId="6" fillId="3" borderId="3" xfId="0" applyFont="1" applyFill="1" applyBorder="1" applyAlignment="1">
      <alignment horizontal="left" vertical="center" wrapText="1"/>
    </xf>
    <xf numFmtId="0" fontId="11" fillId="0" borderId="0" xfId="0" applyFont="1" applyAlignment="1">
      <alignment horizontal="center"/>
    </xf>
    <xf numFmtId="0" fontId="3" fillId="0" borderId="0" xfId="0" applyFont="1" applyBorder="1" applyAlignment="1">
      <alignment horizontal="left" vertical="center" wrapText="1"/>
    </xf>
    <xf numFmtId="2" fontId="3" fillId="3" borderId="1" xfId="0" applyNumberFormat="1" applyFont="1" applyFill="1" applyBorder="1" applyAlignment="1">
      <alignment horizontal="center" vertical="center" wrapText="1"/>
    </xf>
  </cellXfs>
  <cellStyles count="1">
    <cellStyle name="Обычный" xfId="0" builtinId="0"/>
  </cellStyles>
  <dxfs count="0"/>
  <tableStyles count="0" defaultTableStyle="TableStyleMedium2" defaultPivotStyle="PivotStyleLight16"/>
  <colors>
    <mruColors>
      <color rgb="FFFFFFCC"/>
      <color rgb="FFFFFF99"/>
      <color rgb="FF99FF99"/>
      <color rgb="FF99FFCC"/>
      <color rgb="FFFCFC9C"/>
      <color rgb="FFE4F99F"/>
      <color rgb="FFBAF6FC"/>
      <color rgb="FFBEDCF8"/>
      <color rgb="FF53A3EB"/>
      <color rgb="FFBBDA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48"/>
  <sheetViews>
    <sheetView tabSelected="1" zoomScaleNormal="100" workbookViewId="0">
      <selection activeCell="B12" sqref="B12"/>
    </sheetView>
  </sheetViews>
  <sheetFormatPr defaultRowHeight="15" x14ac:dyDescent="0.25"/>
  <cols>
    <col min="1" max="1" width="1.28515625" customWidth="1"/>
    <col min="2" max="2" width="40.85546875" customWidth="1"/>
    <col min="3" max="3" width="45.5703125" customWidth="1"/>
    <col min="4" max="4" width="21.5703125" customWidth="1"/>
    <col min="5" max="5" width="35.5703125" customWidth="1"/>
  </cols>
  <sheetData>
    <row r="1" spans="2:4" x14ac:dyDescent="0.25">
      <c r="B1" s="33" t="s">
        <v>40</v>
      </c>
      <c r="C1" s="33"/>
      <c r="D1" s="33"/>
    </row>
    <row r="2" spans="2:4" x14ac:dyDescent="0.25">
      <c r="C2" s="1"/>
      <c r="D2" s="8"/>
    </row>
    <row r="3" spans="2:4" x14ac:dyDescent="0.25">
      <c r="B3" s="33" t="s">
        <v>39</v>
      </c>
      <c r="C3" s="38"/>
      <c r="D3" s="38"/>
    </row>
    <row r="4" spans="2:4" x14ac:dyDescent="0.25">
      <c r="B4" s="9"/>
      <c r="C4" s="9"/>
      <c r="D4" s="9"/>
    </row>
    <row r="5" spans="2:4" ht="23.25" customHeight="1" x14ac:dyDescent="0.25">
      <c r="B5" s="21" t="s">
        <v>1</v>
      </c>
      <c r="C5" s="21" t="s">
        <v>10</v>
      </c>
      <c r="D5" s="21" t="s">
        <v>41</v>
      </c>
    </row>
    <row r="6" spans="2:4" x14ac:dyDescent="0.25">
      <c r="B6" s="16" t="s">
        <v>33</v>
      </c>
      <c r="C6" s="39" t="s">
        <v>35</v>
      </c>
      <c r="D6" s="40"/>
    </row>
    <row r="7" spans="2:4" x14ac:dyDescent="0.25">
      <c r="B7" s="3" t="s">
        <v>4</v>
      </c>
      <c r="C7" s="11">
        <v>51.64</v>
      </c>
      <c r="D7" s="4" t="s">
        <v>5</v>
      </c>
    </row>
    <row r="8" spans="2:4" x14ac:dyDescent="0.25">
      <c r="B8" s="3" t="s">
        <v>19</v>
      </c>
      <c r="C8" s="11">
        <v>45.5</v>
      </c>
      <c r="D8" s="4" t="s">
        <v>5</v>
      </c>
    </row>
    <row r="9" spans="2:4" x14ac:dyDescent="0.25">
      <c r="B9" s="15" t="s">
        <v>20</v>
      </c>
      <c r="C9" s="11">
        <f>C7</f>
        <v>51.64</v>
      </c>
      <c r="D9" s="4" t="s">
        <v>5</v>
      </c>
    </row>
    <row r="10" spans="2:4" x14ac:dyDescent="0.25">
      <c r="B10" s="16" t="s">
        <v>43</v>
      </c>
      <c r="C10" s="39"/>
      <c r="D10" s="40"/>
    </row>
    <row r="11" spans="2:4" x14ac:dyDescent="0.25">
      <c r="B11" s="3" t="s">
        <v>44</v>
      </c>
      <c r="C11" s="12" t="s">
        <v>29</v>
      </c>
      <c r="D11" s="4" t="s">
        <v>25</v>
      </c>
    </row>
    <row r="12" spans="2:4" ht="24" x14ac:dyDescent="0.25">
      <c r="B12" s="3" t="s">
        <v>24</v>
      </c>
      <c r="C12" s="12" t="s">
        <v>30</v>
      </c>
      <c r="D12" s="4" t="s">
        <v>25</v>
      </c>
    </row>
    <row r="13" spans="2:4" ht="36.75" customHeight="1" x14ac:dyDescent="0.25">
      <c r="B13" s="17" t="s">
        <v>18</v>
      </c>
      <c r="C13" s="30" t="s">
        <v>36</v>
      </c>
      <c r="D13" s="31"/>
    </row>
    <row r="14" spans="2:4" x14ac:dyDescent="0.25">
      <c r="B14" s="3" t="s">
        <v>23</v>
      </c>
      <c r="C14" s="13" t="s">
        <v>37</v>
      </c>
      <c r="D14" s="6" t="s">
        <v>9</v>
      </c>
    </row>
    <row r="15" spans="2:4" x14ac:dyDescent="0.25">
      <c r="B15" s="2"/>
      <c r="C15" s="2"/>
      <c r="D15" s="2"/>
    </row>
    <row r="16" spans="2:4" x14ac:dyDescent="0.25">
      <c r="B16" s="41" t="s">
        <v>17</v>
      </c>
      <c r="C16" s="41"/>
      <c r="D16" s="41"/>
    </row>
    <row r="17" spans="2:4" ht="81" customHeight="1" x14ac:dyDescent="0.25">
      <c r="B17" s="3" t="s">
        <v>2</v>
      </c>
      <c r="C17" s="37" t="s">
        <v>15</v>
      </c>
      <c r="D17" s="37"/>
    </row>
    <row r="18" spans="2:4" x14ac:dyDescent="0.25">
      <c r="B18" s="7" t="s">
        <v>11</v>
      </c>
      <c r="C18" s="11">
        <f>C7</f>
        <v>51.64</v>
      </c>
      <c r="D18" s="4" t="s">
        <v>5</v>
      </c>
    </row>
    <row r="19" spans="2:4" x14ac:dyDescent="0.25">
      <c r="B19" s="7" t="s">
        <v>12</v>
      </c>
      <c r="C19" s="11">
        <f>C8</f>
        <v>45.5</v>
      </c>
      <c r="D19" s="4" t="s">
        <v>5</v>
      </c>
    </row>
    <row r="20" spans="2:4" x14ac:dyDescent="0.25">
      <c r="B20" s="7" t="s">
        <v>13</v>
      </c>
      <c r="C20" s="5" t="str">
        <f>C14</f>
        <v>от 7,33 до 8,89</v>
      </c>
      <c r="D20" s="6" t="s">
        <v>9</v>
      </c>
    </row>
    <row r="21" spans="2:4" x14ac:dyDescent="0.25">
      <c r="B21" s="17" t="s">
        <v>7</v>
      </c>
      <c r="C21" s="18" t="s">
        <v>32</v>
      </c>
      <c r="D21" s="19"/>
    </row>
    <row r="22" spans="2:4" x14ac:dyDescent="0.25">
      <c r="B22" s="3" t="s">
        <v>26</v>
      </c>
      <c r="C22" s="12">
        <v>20</v>
      </c>
      <c r="D22" s="6" t="s">
        <v>6</v>
      </c>
    </row>
    <row r="23" spans="2:4" x14ac:dyDescent="0.25">
      <c r="B23" s="17" t="s">
        <v>31</v>
      </c>
      <c r="C23" s="18" t="s">
        <v>32</v>
      </c>
      <c r="D23" s="19"/>
    </row>
    <row r="24" spans="2:4" ht="24" x14ac:dyDescent="0.25">
      <c r="B24" s="3" t="s">
        <v>27</v>
      </c>
      <c r="C24" s="14">
        <v>123.12</v>
      </c>
      <c r="D24" s="6" t="s">
        <v>6</v>
      </c>
    </row>
    <row r="25" spans="2:4" x14ac:dyDescent="0.25">
      <c r="B25" s="16" t="s">
        <v>33</v>
      </c>
      <c r="C25" s="43"/>
      <c r="D25" s="23"/>
    </row>
    <row r="26" spans="2:4" ht="18.75" customHeight="1" x14ac:dyDescent="0.25">
      <c r="B26" s="28" t="s">
        <v>8</v>
      </c>
      <c r="C26" s="11">
        <v>45.5</v>
      </c>
      <c r="D26" s="6" t="s">
        <v>5</v>
      </c>
    </row>
    <row r="27" spans="2:4" ht="60" customHeight="1" x14ac:dyDescent="0.25">
      <c r="B27" s="34"/>
      <c r="C27" s="35" t="s">
        <v>21</v>
      </c>
      <c r="D27" s="36"/>
    </row>
    <row r="28" spans="2:4" ht="64.5" customHeight="1" x14ac:dyDescent="0.25">
      <c r="B28" s="20" t="s">
        <v>34</v>
      </c>
      <c r="C28" s="30" t="s">
        <v>38</v>
      </c>
      <c r="D28" s="31"/>
    </row>
    <row r="29" spans="2:4" x14ac:dyDescent="0.25">
      <c r="B29" s="28" t="s">
        <v>3</v>
      </c>
      <c r="C29" s="13">
        <v>982.84</v>
      </c>
      <c r="D29" s="6" t="s">
        <v>5</v>
      </c>
    </row>
    <row r="30" spans="2:4" ht="105" customHeight="1" x14ac:dyDescent="0.25">
      <c r="B30" s="29"/>
      <c r="C30" s="26" t="s">
        <v>14</v>
      </c>
      <c r="D30" s="27"/>
    </row>
    <row r="31" spans="2:4" x14ac:dyDescent="0.25">
      <c r="B31" s="42"/>
      <c r="C31" s="42"/>
      <c r="D31" s="42"/>
    </row>
    <row r="32" spans="2:4" x14ac:dyDescent="0.25">
      <c r="B32" s="2"/>
      <c r="C32" s="2"/>
      <c r="D32" s="2"/>
    </row>
    <row r="33" spans="2:4" x14ac:dyDescent="0.25">
      <c r="B33" s="32" t="s">
        <v>42</v>
      </c>
      <c r="C33" s="32"/>
      <c r="D33" s="32"/>
    </row>
    <row r="34" spans="2:4" x14ac:dyDescent="0.25">
      <c r="B34" s="22"/>
      <c r="C34" s="22"/>
      <c r="D34" s="22"/>
    </row>
    <row r="35" spans="2:4" x14ac:dyDescent="0.25">
      <c r="B35" s="2"/>
      <c r="C35" s="2"/>
      <c r="D35" s="2"/>
    </row>
    <row r="36" spans="2:4" ht="35.25" customHeight="1" x14ac:dyDescent="0.25">
      <c r="B36" s="25" t="s">
        <v>28</v>
      </c>
      <c r="C36" s="25"/>
      <c r="D36" s="25"/>
    </row>
    <row r="37" spans="2:4" x14ac:dyDescent="0.25">
      <c r="B37" s="7" t="s">
        <v>4</v>
      </c>
      <c r="C37" s="10">
        <v>4.33</v>
      </c>
      <c r="D37" s="7" t="s">
        <v>16</v>
      </c>
    </row>
    <row r="38" spans="2:4" x14ac:dyDescent="0.25">
      <c r="B38" s="7" t="s">
        <v>20</v>
      </c>
      <c r="C38" s="10">
        <v>3.23</v>
      </c>
      <c r="D38" s="7" t="s">
        <v>16</v>
      </c>
    </row>
    <row r="39" spans="2:4" x14ac:dyDescent="0.25">
      <c r="B39" s="7" t="s">
        <v>0</v>
      </c>
      <c r="C39" s="10">
        <f>C37+C38</f>
        <v>7.5600000000000005</v>
      </c>
      <c r="D39" s="7" t="s">
        <v>16</v>
      </c>
    </row>
    <row r="40" spans="2:4" x14ac:dyDescent="0.25">
      <c r="B40" s="9"/>
      <c r="C40" s="9"/>
      <c r="D40" s="9"/>
    </row>
    <row r="41" spans="2:4" x14ac:dyDescent="0.25">
      <c r="B41" s="24" t="s">
        <v>22</v>
      </c>
      <c r="C41" s="24"/>
      <c r="D41" s="24"/>
    </row>
    <row r="42" spans="2:4" x14ac:dyDescent="0.25">
      <c r="B42" s="24"/>
      <c r="C42" s="24"/>
      <c r="D42" s="24"/>
    </row>
    <row r="43" spans="2:4" x14ac:dyDescent="0.25">
      <c r="B43" s="24"/>
      <c r="C43" s="24"/>
      <c r="D43" s="24"/>
    </row>
    <row r="44" spans="2:4" x14ac:dyDescent="0.25">
      <c r="B44" s="24"/>
      <c r="C44" s="24"/>
      <c r="D44" s="24"/>
    </row>
    <row r="45" spans="2:4" x14ac:dyDescent="0.25">
      <c r="B45" s="24"/>
      <c r="C45" s="24"/>
      <c r="D45" s="24"/>
    </row>
    <row r="46" spans="2:4" x14ac:dyDescent="0.25">
      <c r="B46" s="24"/>
      <c r="C46" s="24"/>
      <c r="D46" s="24"/>
    </row>
    <row r="47" spans="2:4" x14ac:dyDescent="0.25">
      <c r="B47" s="24"/>
      <c r="C47" s="24"/>
      <c r="D47" s="24"/>
    </row>
    <row r="48" spans="2:4" ht="12.75" customHeight="1" x14ac:dyDescent="0.25">
      <c r="B48" s="24"/>
      <c r="C48" s="24"/>
      <c r="D48" s="24"/>
    </row>
  </sheetData>
  <mergeCells count="15">
    <mergeCell ref="B33:D33"/>
    <mergeCell ref="B1:D1"/>
    <mergeCell ref="C17:D17"/>
    <mergeCell ref="B3:D3"/>
    <mergeCell ref="C6:D6"/>
    <mergeCell ref="C10:D10"/>
    <mergeCell ref="B16:D16"/>
    <mergeCell ref="C13:D13"/>
    <mergeCell ref="B26:B27"/>
    <mergeCell ref="C27:D27"/>
    <mergeCell ref="B41:D48"/>
    <mergeCell ref="B36:D36"/>
    <mergeCell ref="C30:D30"/>
    <mergeCell ref="B29:B30"/>
    <mergeCell ref="C28:D28"/>
  </mergeCells>
  <pageMargins left="0.19685039370078741" right="0" top="0.39370078740157483" bottom="0" header="0.31496062992125984" footer="0.31496062992125984"/>
  <pageSetup paperSize="9" scale="7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415C2-75AC-40EF-AA53-18FAC18FDAAE}">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Тариф</vt: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Ekaterina</dc:creator>
  <cp:lastModifiedBy>Микиртычьян Екатерина</cp:lastModifiedBy>
  <cp:lastPrinted>2025-01-23T12:09:48Z</cp:lastPrinted>
  <dcterms:created xsi:type="dcterms:W3CDTF">2021-08-03T15:54:16Z</dcterms:created>
  <dcterms:modified xsi:type="dcterms:W3CDTF">2025-01-23T12:10:19Z</dcterms:modified>
</cp:coreProperties>
</file>